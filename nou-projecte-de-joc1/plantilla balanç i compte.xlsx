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" sheetId="1" r:id="rId4"/>
    <sheet state="visible" name="Perdues i guanys " sheetId="2" r:id="rId5"/>
  </sheets>
  <definedNames/>
  <calcPr/>
</workbook>
</file>

<file path=xl/sharedStrings.xml><?xml version="1.0" encoding="utf-8"?>
<sst xmlns="http://schemas.openxmlformats.org/spreadsheetml/2006/main" count="29" uniqueCount="29">
  <si>
    <t>BALANÇ</t>
  </si>
  <si>
    <t xml:space="preserve">ACTIU </t>
  </si>
  <si>
    <t>DATA 1</t>
  </si>
  <si>
    <t xml:space="preserve">DATA 2 </t>
  </si>
  <si>
    <t xml:space="preserve">DATA 3 </t>
  </si>
  <si>
    <t>A) ACTIU NO CORRENT</t>
  </si>
  <si>
    <t>B) ACTIU CORRENT</t>
  </si>
  <si>
    <t xml:space="preserve">EXISTENCIES </t>
  </si>
  <si>
    <t>REALITZABLE</t>
  </si>
  <si>
    <t>DISPONIBLE</t>
  </si>
  <si>
    <t>TOTAL ACTIU (A + B)</t>
  </si>
  <si>
    <t xml:space="preserve">PATRIMONI NET I PASSIU </t>
  </si>
  <si>
    <t xml:space="preserve">A) PATRIMONI NET </t>
  </si>
  <si>
    <t>Resultats acumulats</t>
  </si>
  <si>
    <t>B) PASSIU NO CORRENT</t>
  </si>
  <si>
    <t>C) PASSIU CORRENT</t>
  </si>
  <si>
    <t>TOTAL PATRIMONI NET I PASSIU</t>
  </si>
  <si>
    <t>Check</t>
  </si>
  <si>
    <t>Compte de perdues i guanys</t>
  </si>
  <si>
    <t xml:space="preserve">PÈRDES I GUANYS </t>
  </si>
  <si>
    <t xml:space="preserve">INGRESOS EXPLOTACIÓ </t>
  </si>
  <si>
    <t>DESPESES D'EXPLOTACIÓ</t>
  </si>
  <si>
    <t xml:space="preserve">A) RESULTAT D'EXPLOTACIÓ </t>
  </si>
  <si>
    <t>INGRESOS FINANCERS</t>
  </si>
  <si>
    <t>DESPESES FINANCERES</t>
  </si>
  <si>
    <t>B) RESULTAT FIANNCER</t>
  </si>
  <si>
    <t>C) RESULTAT ABANS D'IMPOSTOS (A +B)</t>
  </si>
  <si>
    <t>Impost sobre els beneficis</t>
  </si>
  <si>
    <t>D) RESULTAT DE L'EXERCICI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</si>
</sst>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 \(#,##0\)"/>
    <numFmt numFmtId="165" formatCode="#,##0_ ;[Red]\-#,##0\ "/>
    <numFmt numFmtId="166" formatCode="#,##0;[Red]\ \(#,##0\)"/>
  </numFmts>
  <fonts count="8">
    <font>
      <sz val="10.0"/>
      <color rgb="FF000000"/>
      <name val="Arial"/>
      <scheme val="minor"/>
    </font>
    <font>
      <sz val="10.0"/>
      <color theme="1"/>
      <name val="Calibri"/>
    </font>
    <font>
      <b/>
      <sz val="10.0"/>
      <color rgb="FFFFFFFF"/>
      <name val="Calibri"/>
    </font>
    <font>
      <sz val="10.0"/>
      <color theme="0"/>
      <name val="Calibri"/>
    </font>
    <font>
      <sz val="10.0"/>
      <color rgb="FFFFFFFF"/>
      <name val="Calibri"/>
    </font>
    <font>
      <b/>
      <sz val="10.0"/>
      <color theme="0"/>
      <name val="Calibri"/>
    </font>
    <font>
      <b/>
      <sz val="10.0"/>
      <color theme="1"/>
      <name val="Calibri"/>
    </font>
    <font>
      <b/>
      <i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1E4E79"/>
        <bgColor rgb="FF1E4E79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theme="0"/>
      </left>
      <right style="thin">
        <color theme="0"/>
      </right>
      <top style="medium">
        <color rgb="FF000000"/>
      </top>
      <bottom style="medium">
        <color rgb="FF000000"/>
      </bottom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readingOrder="0"/>
    </xf>
    <xf borderId="0" fillId="0" fontId="3" numFmtId="14" xfId="0" applyAlignment="1" applyFont="1" applyNumberFormat="1">
      <alignment horizontal="center"/>
    </xf>
    <xf borderId="2" fillId="3" fontId="2" numFmtId="0" xfId="0" applyAlignment="1" applyBorder="1" applyFill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3" fontId="5" numFmtId="14" xfId="0" applyAlignment="1" applyBorder="1" applyFont="1" applyNumberFormat="1">
      <alignment horizontal="center"/>
    </xf>
    <xf borderId="2" fillId="4" fontId="6" numFmtId="4" xfId="0" applyAlignment="1" applyBorder="1" applyFill="1" applyFont="1" applyNumberFormat="1">
      <alignment horizontal="left" readingOrder="0" vertical="center"/>
    </xf>
    <xf borderId="2" fillId="4" fontId="6" numFmtId="3" xfId="0" applyAlignment="1" applyBorder="1" applyFont="1" applyNumberFormat="1">
      <alignment vertical="center"/>
    </xf>
    <xf borderId="2" fillId="5" fontId="6" numFmtId="3" xfId="0" applyAlignment="1" applyBorder="1" applyFill="1" applyFont="1" applyNumberFormat="1">
      <alignment horizontal="left" vertical="center"/>
    </xf>
    <xf borderId="2" fillId="5" fontId="6" numFmtId="164" xfId="0" applyBorder="1" applyFont="1" applyNumberFormat="1"/>
    <xf borderId="2" fillId="5" fontId="6" numFmtId="0" xfId="0" applyAlignment="1" applyBorder="1" applyFont="1">
      <alignment horizontal="left" vertical="center"/>
    </xf>
    <xf borderId="2" fillId="4" fontId="6" numFmtId="3" xfId="0" applyAlignment="1" applyBorder="1" applyFont="1" applyNumberFormat="1">
      <alignment horizontal="left" readingOrder="0" vertical="center"/>
    </xf>
    <xf borderId="2" fillId="5" fontId="6" numFmtId="0" xfId="0" applyAlignment="1" applyBorder="1" applyFont="1">
      <alignment horizontal="left" readingOrder="0" vertical="center"/>
    </xf>
    <xf borderId="2" fillId="5" fontId="6" numFmtId="165" xfId="0" applyAlignment="1" applyBorder="1" applyFont="1" applyNumberFormat="1">
      <alignment vertical="center"/>
    </xf>
    <xf borderId="2" fillId="5" fontId="6" numFmtId="3" xfId="0" applyAlignment="1" applyBorder="1" applyFont="1" applyNumberFormat="1">
      <alignment vertical="center"/>
    </xf>
    <xf borderId="2" fillId="5" fontId="1" numFmtId="3" xfId="0" applyAlignment="1" applyBorder="1" applyFont="1" applyNumberFormat="1">
      <alignment vertical="center"/>
    </xf>
    <xf borderId="2" fillId="5" fontId="1" numFmtId="0" xfId="0" applyAlignment="1" applyBorder="1" applyFont="1">
      <alignment horizontal="left" vertical="center"/>
    </xf>
    <xf borderId="2" fillId="5" fontId="6" numFmtId="3" xfId="0" applyAlignment="1" applyBorder="1" applyFont="1" applyNumberFormat="1">
      <alignment horizontal="left" readingOrder="0" vertical="center"/>
    </xf>
    <xf borderId="3" fillId="6" fontId="1" numFmtId="0" xfId="0" applyBorder="1" applyFill="1" applyFont="1"/>
    <xf borderId="2" fillId="6" fontId="6" numFmtId="3" xfId="0" applyAlignment="1" applyBorder="1" applyFont="1" applyNumberFormat="1">
      <alignment horizontal="left" vertical="center"/>
    </xf>
    <xf borderId="2" fillId="6" fontId="6" numFmtId="3" xfId="0" applyAlignment="1" applyBorder="1" applyFont="1" applyNumberFormat="1">
      <alignment vertical="center"/>
    </xf>
    <xf borderId="2" fillId="0" fontId="1" numFmtId="0" xfId="0" applyBorder="1" applyFont="1"/>
    <xf borderId="2" fillId="5" fontId="6" numFmtId="4" xfId="0" applyAlignment="1" applyBorder="1" applyFont="1" applyNumberFormat="1">
      <alignment horizontal="left" vertical="center"/>
    </xf>
    <xf borderId="2" fillId="5" fontId="7" numFmtId="3" xfId="0" applyAlignment="1" applyBorder="1" applyFont="1" applyNumberFormat="1">
      <alignment horizontal="left" vertical="center"/>
    </xf>
    <xf borderId="3" fillId="4" fontId="1" numFmtId="3" xfId="0" applyBorder="1" applyFont="1" applyNumberFormat="1"/>
    <xf borderId="2" fillId="5" fontId="6" numFmtId="0" xfId="0" applyAlignment="1" applyBorder="1" applyFont="1">
      <alignment horizontal="left" shrinkToFit="0" vertical="center" wrapText="1"/>
    </xf>
    <xf borderId="2" fillId="5" fontId="1" numFmtId="0" xfId="0" applyAlignment="1" applyBorder="1" applyFont="1">
      <alignment horizontal="left" shrinkToFit="0" vertical="center" wrapText="1"/>
    </xf>
    <xf borderId="2" fillId="5" fontId="1" numFmtId="3" xfId="0" applyAlignment="1" applyBorder="1" applyFont="1" applyNumberFormat="1">
      <alignment horizontal="left" vertical="center"/>
    </xf>
    <xf borderId="2" fillId="5" fontId="6" numFmtId="3" xfId="0" applyBorder="1" applyFont="1" applyNumberFormat="1"/>
    <xf borderId="2" fillId="6" fontId="1" numFmtId="3" xfId="0" applyAlignment="1" applyBorder="1" applyFont="1" applyNumberFormat="1">
      <alignment horizontal="left" vertical="center"/>
    </xf>
    <xf borderId="2" fillId="6" fontId="1" numFmtId="3" xfId="0" applyAlignment="1" applyBorder="1" applyFont="1" applyNumberFormat="1">
      <alignment vertical="center"/>
    </xf>
    <xf borderId="4" fillId="0" fontId="6" numFmtId="0" xfId="0" applyBorder="1" applyFont="1"/>
    <xf borderId="5" fillId="0" fontId="6" numFmtId="3" xfId="0" applyBorder="1" applyFont="1" applyNumberFormat="1"/>
    <xf borderId="6" fillId="0" fontId="6" numFmtId="3" xfId="0" applyAlignment="1" applyBorder="1" applyFont="1" applyNumberFormat="1">
      <alignment vertical="center"/>
    </xf>
    <xf borderId="7" fillId="0" fontId="6" numFmtId="3" xfId="0" applyAlignment="1" applyBorder="1" applyFont="1" applyNumberFormat="1">
      <alignment vertical="center"/>
    </xf>
    <xf borderId="3" fillId="6" fontId="3" numFmtId="3" xfId="0" applyBorder="1" applyFont="1" applyNumberFormat="1"/>
    <xf borderId="2" fillId="3" fontId="2" numFmtId="0" xfId="0" applyAlignment="1" applyBorder="1" applyFont="1">
      <alignment horizontal="left" readingOrder="0"/>
    </xf>
    <xf borderId="2" fillId="5" fontId="6" numFmtId="3" xfId="0" applyAlignment="1" applyBorder="1" applyFont="1" applyNumberFormat="1">
      <alignment horizontal="left" readingOrder="0" shrinkToFit="0" wrapText="1"/>
    </xf>
    <xf borderId="2" fillId="5" fontId="1" numFmtId="164" xfId="0" applyBorder="1" applyFont="1" applyNumberFormat="1"/>
    <xf borderId="2" fillId="5" fontId="6" numFmtId="3" xfId="0" applyAlignment="1" applyBorder="1" applyFont="1" applyNumberFormat="1">
      <alignment horizontal="left" shrinkToFit="0" wrapText="1"/>
    </xf>
    <xf borderId="2" fillId="5" fontId="6" numFmtId="3" xfId="0" applyAlignment="1" applyBorder="1" applyFont="1" applyNumberFormat="1">
      <alignment readingOrder="0" shrinkToFit="0" wrapText="1"/>
    </xf>
    <xf borderId="2" fillId="5" fontId="6" numFmtId="3" xfId="0" applyAlignment="1" applyBorder="1" applyFont="1" applyNumberFormat="1">
      <alignment shrinkToFit="0" wrapText="1"/>
    </xf>
    <xf borderId="2" fillId="4" fontId="6" numFmtId="3" xfId="0" applyAlignment="1" applyBorder="1" applyFont="1" applyNumberFormat="1">
      <alignment readingOrder="0" shrinkToFit="0" wrapText="1"/>
    </xf>
    <xf borderId="2" fillId="4" fontId="6" numFmtId="166" xfId="0" applyBorder="1" applyFont="1" applyNumberFormat="1"/>
    <xf borderId="2" fillId="0" fontId="6" numFmtId="3" xfId="0" applyAlignment="1" applyBorder="1" applyFont="1" applyNumberFormat="1">
      <alignment shrinkToFit="0" wrapText="1"/>
    </xf>
    <xf borderId="2" fillId="0" fontId="1" numFmtId="3" xfId="0" applyBorder="1" applyFont="1" applyNumberFormat="1"/>
    <xf borderId="2" fillId="4" fontId="6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shrinkToFit="0" wrapText="1"/>
    </xf>
    <xf borderId="3" fillId="6" fontId="1" numFmtId="0" xfId="0" applyAlignment="1" applyBorder="1" applyFont="1">
      <alignment readingOrder="0"/>
    </xf>
    <xf borderId="2" fillId="5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theme="0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OP!A1" TargetMode="External"/><Relationship Id="rId2" Type="http://schemas.openxmlformats.org/officeDocument/2006/relationships/hyperlink" Target="#'C'!A1" TargetMode="External"/><Relationship Id="rId3" Type="http://schemas.openxmlformats.org/officeDocument/2006/relationships/hyperlink" Target="#T!A1" TargetMode="External"/><Relationship Id="rId4" Type="http://schemas.openxmlformats.org/officeDocument/2006/relationships/hyperlink" Target="#INV!A5" TargetMode="External"/><Relationship Id="rId11" Type="http://schemas.openxmlformats.org/officeDocument/2006/relationships/hyperlink" Target="#Home!A5" TargetMode="External"/><Relationship Id="rId10" Type="http://schemas.openxmlformats.org/officeDocument/2006/relationships/hyperlink" Target="#A!A1" TargetMode="External"/><Relationship Id="rId9" Type="http://schemas.openxmlformats.org/officeDocument/2006/relationships/hyperlink" Target="#Stock!A1" TargetMode="External"/><Relationship Id="rId5" Type="http://schemas.openxmlformats.org/officeDocument/2006/relationships/hyperlink" Target="#FIN!A1" TargetMode="External"/><Relationship Id="rId6" Type="http://schemas.openxmlformats.org/officeDocument/2006/relationships/hyperlink" Target="#B!A1" TargetMode="External"/><Relationship Id="rId7" Type="http://schemas.openxmlformats.org/officeDocument/2006/relationships/hyperlink" Target="#'R'!A1" TargetMode="External"/><Relationship Id="rId8" Type="http://schemas.openxmlformats.org/officeDocument/2006/relationships/hyperlink" Target="#'Inv-Fin'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OP!A1" TargetMode="External"/><Relationship Id="rId2" Type="http://schemas.openxmlformats.org/officeDocument/2006/relationships/hyperlink" Target="#'C'!A1" TargetMode="External"/><Relationship Id="rId3" Type="http://schemas.openxmlformats.org/officeDocument/2006/relationships/hyperlink" Target="#T!A1" TargetMode="External"/><Relationship Id="rId4" Type="http://schemas.openxmlformats.org/officeDocument/2006/relationships/hyperlink" Target="#INV!A5" TargetMode="External"/><Relationship Id="rId11" Type="http://schemas.openxmlformats.org/officeDocument/2006/relationships/hyperlink" Target="#Home!A5" TargetMode="External"/><Relationship Id="rId10" Type="http://schemas.openxmlformats.org/officeDocument/2006/relationships/hyperlink" Target="#EFE!A1" TargetMode="External"/><Relationship Id="rId9" Type="http://schemas.openxmlformats.org/officeDocument/2006/relationships/hyperlink" Target="#Stock!A1" TargetMode="External"/><Relationship Id="rId5" Type="http://schemas.openxmlformats.org/officeDocument/2006/relationships/hyperlink" Target="#FIN!A1" TargetMode="External"/><Relationship Id="rId6" Type="http://schemas.openxmlformats.org/officeDocument/2006/relationships/hyperlink" Target="#B!A1" TargetMode="External"/><Relationship Id="rId7" Type="http://schemas.openxmlformats.org/officeDocument/2006/relationships/hyperlink" Target="#'R'!A1" TargetMode="External"/><Relationship Id="rId8" Type="http://schemas.openxmlformats.org/officeDocument/2006/relationships/hyperlink" Target="#'Inv-Fin'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0</xdr:row>
      <xdr:rowOff>76200</xdr:rowOff>
    </xdr:from>
    <xdr:ext cx="828675" cy="238125"/>
    <xdr:sp>
      <xdr:nvSpPr>
        <xdr:cNvPr id="3" name="Shape 3">
          <a:hlinkClick r:id="rId1"/>
        </xdr:cNvPr>
        <xdr:cNvSpPr/>
      </xdr:nvSpPr>
      <xdr:spPr>
        <a:xfrm>
          <a:off x="4931663" y="3665700"/>
          <a:ext cx="828675" cy="228600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OPERACIONS</a:t>
          </a:r>
          <a:endParaRPr sz="1400"/>
        </a:p>
      </xdr:txBody>
    </xdr:sp>
    <xdr:clientData fLocksWithSheet="0"/>
  </xdr:oneCellAnchor>
  <xdr:oneCellAnchor>
    <xdr:from>
      <xdr:col>2</xdr:col>
      <xdr:colOff>628650</xdr:colOff>
      <xdr:row>0</xdr:row>
      <xdr:rowOff>76200</xdr:rowOff>
    </xdr:from>
    <xdr:ext cx="628650" cy="238125"/>
    <xdr:sp>
      <xdr:nvSpPr>
        <xdr:cNvPr id="4" name="Shape 4">
          <a:hlinkClick r:id="rId2"/>
        </xdr:cNvPr>
        <xdr:cNvSpPr/>
      </xdr:nvSpPr>
      <xdr:spPr>
        <a:xfrm>
          <a:off x="5036438" y="3665700"/>
          <a:ext cx="619125" cy="228600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DESPESES</a:t>
          </a:r>
          <a:endParaRPr sz="1400"/>
        </a:p>
      </xdr:txBody>
    </xdr:sp>
    <xdr:clientData fLocksWithSheet="0"/>
  </xdr:oneCellAnchor>
  <xdr:oneCellAnchor>
    <xdr:from>
      <xdr:col>5</xdr:col>
      <xdr:colOff>333375</xdr:colOff>
      <xdr:row>0</xdr:row>
      <xdr:rowOff>76200</xdr:rowOff>
    </xdr:from>
    <xdr:ext cx="619125" cy="238125"/>
    <xdr:sp>
      <xdr:nvSpPr>
        <xdr:cNvPr id="5" name="Shape 5">
          <a:hlinkClick r:id="rId3"/>
        </xdr:cNvPr>
        <xdr:cNvSpPr/>
      </xdr:nvSpPr>
      <xdr:spPr>
        <a:xfrm>
          <a:off x="5041200" y="3665700"/>
          <a:ext cx="609600" cy="22860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Tresoreria</a:t>
          </a:r>
          <a:endParaRPr sz="1400"/>
        </a:p>
      </xdr:txBody>
    </xdr:sp>
    <xdr:clientData fLocksWithSheet="0"/>
  </xdr:oneCellAnchor>
  <xdr:oneCellAnchor>
    <xdr:from>
      <xdr:col>1</xdr:col>
      <xdr:colOff>1304925</xdr:colOff>
      <xdr:row>0</xdr:row>
      <xdr:rowOff>76200</xdr:rowOff>
    </xdr:from>
    <xdr:ext cx="819150" cy="238125"/>
    <xdr:sp>
      <xdr:nvSpPr>
        <xdr:cNvPr id="6" name="Shape 6">
          <a:hlinkClick r:id="rId4"/>
        </xdr:cNvPr>
        <xdr:cNvSpPr/>
      </xdr:nvSpPr>
      <xdr:spPr>
        <a:xfrm>
          <a:off x="4941188" y="3665700"/>
          <a:ext cx="809625" cy="228600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INVERSIONS</a:t>
          </a:r>
          <a:endParaRPr sz="1400"/>
        </a:p>
      </xdr:txBody>
    </xdr:sp>
    <xdr:clientData fLocksWithSheet="0"/>
  </xdr:oneCellAnchor>
  <xdr:oneCellAnchor>
    <xdr:from>
      <xdr:col>1</xdr:col>
      <xdr:colOff>2152650</xdr:colOff>
      <xdr:row>0</xdr:row>
      <xdr:rowOff>76200</xdr:rowOff>
    </xdr:from>
    <xdr:ext cx="866775" cy="238125"/>
    <xdr:sp>
      <xdr:nvSpPr>
        <xdr:cNvPr id="7" name="Shape 7">
          <a:hlinkClick r:id="rId5"/>
        </xdr:cNvPr>
        <xdr:cNvSpPr/>
      </xdr:nvSpPr>
      <xdr:spPr>
        <a:xfrm>
          <a:off x="4917375" y="3665700"/>
          <a:ext cx="857250" cy="228600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FINANÇAMENT</a:t>
          </a:r>
          <a:endParaRPr sz="1400"/>
        </a:p>
      </xdr:txBody>
    </xdr:sp>
    <xdr:clientData fLocksWithSheet="0"/>
  </xdr:oneCellAnchor>
  <xdr:oneCellAnchor>
    <xdr:from>
      <xdr:col>4</xdr:col>
      <xdr:colOff>47625</xdr:colOff>
      <xdr:row>0</xdr:row>
      <xdr:rowOff>76200</xdr:rowOff>
    </xdr:from>
    <xdr:ext cx="619125" cy="238125"/>
    <xdr:sp>
      <xdr:nvSpPr>
        <xdr:cNvPr id="8" name="Shape 8">
          <a:hlinkClick r:id="rId6"/>
        </xdr:cNvPr>
        <xdr:cNvSpPr/>
      </xdr:nvSpPr>
      <xdr:spPr>
        <a:xfrm>
          <a:off x="5041200" y="3665700"/>
          <a:ext cx="609600" cy="228600"/>
        </a:xfrm>
        <a:prstGeom prst="rect">
          <a:avLst/>
        </a:prstGeom>
        <a:solidFill>
          <a:schemeClr val="dk1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Balanç</a:t>
          </a:r>
          <a:endParaRPr sz="1400"/>
        </a:p>
      </xdr:txBody>
    </xdr:sp>
    <xdr:clientData fLocksWithSheet="0"/>
  </xdr:oneCellAnchor>
  <xdr:oneCellAnchor>
    <xdr:from>
      <xdr:col>4</xdr:col>
      <xdr:colOff>695325</xdr:colOff>
      <xdr:row>0</xdr:row>
      <xdr:rowOff>76200</xdr:rowOff>
    </xdr:from>
    <xdr:ext cx="657225" cy="238125"/>
    <xdr:sp>
      <xdr:nvSpPr>
        <xdr:cNvPr id="9" name="Shape 9">
          <a:hlinkClick r:id="rId7"/>
        </xdr:cNvPr>
        <xdr:cNvSpPr/>
      </xdr:nvSpPr>
      <xdr:spPr>
        <a:xfrm>
          <a:off x="5022150" y="3665700"/>
          <a:ext cx="647700" cy="22860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Resultats</a:t>
          </a:r>
          <a:endParaRPr sz="1400"/>
        </a:p>
      </xdr:txBody>
    </xdr:sp>
    <xdr:clientData fLocksWithSheet="0"/>
  </xdr:oneCellAnchor>
  <xdr:oneCellAnchor>
    <xdr:from>
      <xdr:col>6</xdr:col>
      <xdr:colOff>428625</xdr:colOff>
      <xdr:row>0</xdr:row>
      <xdr:rowOff>76200</xdr:rowOff>
    </xdr:from>
    <xdr:ext cx="457200" cy="238125"/>
    <xdr:sp>
      <xdr:nvSpPr>
        <xdr:cNvPr id="10" name="Shape 10">
          <a:hlinkClick r:id="rId8"/>
        </xdr:cNvPr>
        <xdr:cNvSpPr/>
      </xdr:nvSpPr>
      <xdr:spPr>
        <a:xfrm>
          <a:off x="5122163" y="3665700"/>
          <a:ext cx="447675" cy="22860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Inv-Fin</a:t>
          </a:r>
          <a:endParaRPr sz="1400"/>
        </a:p>
      </xdr:txBody>
    </xdr:sp>
    <xdr:clientData fLocksWithSheet="0"/>
  </xdr:oneCellAnchor>
  <xdr:oneCellAnchor>
    <xdr:from>
      <xdr:col>5</xdr:col>
      <xdr:colOff>971550</xdr:colOff>
      <xdr:row>0</xdr:row>
      <xdr:rowOff>76200</xdr:rowOff>
    </xdr:from>
    <xdr:ext cx="466725" cy="238125"/>
    <xdr:sp>
      <xdr:nvSpPr>
        <xdr:cNvPr id="11" name="Shape 11">
          <a:hlinkClick r:id="rId9"/>
        </xdr:cNvPr>
        <xdr:cNvSpPr/>
      </xdr:nvSpPr>
      <xdr:spPr>
        <a:xfrm>
          <a:off x="5117400" y="3665700"/>
          <a:ext cx="457200" cy="22860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Stock</a:t>
          </a:r>
          <a:endParaRPr sz="1400"/>
        </a:p>
      </xdr:txBody>
    </xdr:sp>
    <xdr:clientData fLocksWithSheet="0"/>
  </xdr:oneCellAnchor>
  <xdr:oneCellAnchor>
    <xdr:from>
      <xdr:col>6</xdr:col>
      <xdr:colOff>904875</xdr:colOff>
      <xdr:row>0</xdr:row>
      <xdr:rowOff>76200</xdr:rowOff>
    </xdr:from>
    <xdr:ext cx="466725" cy="238125"/>
    <xdr:sp>
      <xdr:nvSpPr>
        <xdr:cNvPr id="12" name="Shape 12">
          <a:hlinkClick r:id="rId10"/>
        </xdr:cNvPr>
        <xdr:cNvSpPr/>
      </xdr:nvSpPr>
      <xdr:spPr>
        <a:xfrm>
          <a:off x="5117400" y="3665700"/>
          <a:ext cx="457200" cy="22860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Análisis</a:t>
          </a:r>
          <a:endParaRPr sz="1400"/>
        </a:p>
      </xdr:txBody>
    </xdr:sp>
    <xdr:clientData fLocksWithSheet="0"/>
  </xdr:oneCellAnchor>
  <xdr:oneCellAnchor>
    <xdr:from>
      <xdr:col>1</xdr:col>
      <xdr:colOff>781050</xdr:colOff>
      <xdr:row>0</xdr:row>
      <xdr:rowOff>76200</xdr:rowOff>
    </xdr:from>
    <xdr:ext cx="485775" cy="238125"/>
    <xdr:sp>
      <xdr:nvSpPr>
        <xdr:cNvPr id="13" name="Shape 13">
          <a:hlinkClick r:id="rId11"/>
        </xdr:cNvPr>
        <xdr:cNvSpPr/>
      </xdr:nvSpPr>
      <xdr:spPr>
        <a:xfrm>
          <a:off x="5103113" y="3665700"/>
          <a:ext cx="485775" cy="228600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HOME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0</xdr:row>
      <xdr:rowOff>76200</xdr:rowOff>
    </xdr:from>
    <xdr:ext cx="828675" cy="238125"/>
    <xdr:sp>
      <xdr:nvSpPr>
        <xdr:cNvPr id="14" name="Shape 14">
          <a:hlinkClick r:id="rId1"/>
        </xdr:cNvPr>
        <xdr:cNvSpPr/>
      </xdr:nvSpPr>
      <xdr:spPr>
        <a:xfrm>
          <a:off x="4936425" y="3665700"/>
          <a:ext cx="819150" cy="228600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OPERACIONS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0</xdr:row>
      <xdr:rowOff>76200</xdr:rowOff>
    </xdr:from>
    <xdr:ext cx="628650" cy="238125"/>
    <xdr:sp>
      <xdr:nvSpPr>
        <xdr:cNvPr id="15" name="Shape 15">
          <a:hlinkClick r:id="rId2"/>
        </xdr:cNvPr>
        <xdr:cNvSpPr/>
      </xdr:nvSpPr>
      <xdr:spPr>
        <a:xfrm>
          <a:off x="5036438" y="3665700"/>
          <a:ext cx="619125" cy="228600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DESPESES</a:t>
          </a:r>
          <a:endParaRPr sz="1400"/>
        </a:p>
      </xdr:txBody>
    </xdr:sp>
    <xdr:clientData fLocksWithSheet="0"/>
  </xdr:oneCellAnchor>
  <xdr:oneCellAnchor>
    <xdr:from>
      <xdr:col>4</xdr:col>
      <xdr:colOff>247650</xdr:colOff>
      <xdr:row>0</xdr:row>
      <xdr:rowOff>76200</xdr:rowOff>
    </xdr:from>
    <xdr:ext cx="619125" cy="238125"/>
    <xdr:sp>
      <xdr:nvSpPr>
        <xdr:cNvPr id="16" name="Shape 16">
          <a:hlinkClick r:id="rId3"/>
        </xdr:cNvPr>
        <xdr:cNvSpPr/>
      </xdr:nvSpPr>
      <xdr:spPr>
        <a:xfrm>
          <a:off x="5041200" y="3665700"/>
          <a:ext cx="609600" cy="22860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Tresoreria</a:t>
          </a:r>
          <a:endParaRPr sz="1400"/>
        </a:p>
      </xdr:txBody>
    </xdr:sp>
    <xdr:clientData fLocksWithSheet="0"/>
  </xdr:oneCellAnchor>
  <xdr:oneCellAnchor>
    <xdr:from>
      <xdr:col>1</xdr:col>
      <xdr:colOff>1304925</xdr:colOff>
      <xdr:row>0</xdr:row>
      <xdr:rowOff>76200</xdr:rowOff>
    </xdr:from>
    <xdr:ext cx="819150" cy="238125"/>
    <xdr:sp>
      <xdr:nvSpPr>
        <xdr:cNvPr id="17" name="Shape 17">
          <a:hlinkClick r:id="rId4"/>
        </xdr:cNvPr>
        <xdr:cNvSpPr/>
      </xdr:nvSpPr>
      <xdr:spPr>
        <a:xfrm>
          <a:off x="4941188" y="3665700"/>
          <a:ext cx="809625" cy="228600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INVERSIONS</a:t>
          </a:r>
          <a:endParaRPr sz="1400"/>
        </a:p>
      </xdr:txBody>
    </xdr:sp>
    <xdr:clientData fLocksWithSheet="0"/>
  </xdr:oneCellAnchor>
  <xdr:oneCellAnchor>
    <xdr:from>
      <xdr:col>1</xdr:col>
      <xdr:colOff>2152650</xdr:colOff>
      <xdr:row>0</xdr:row>
      <xdr:rowOff>76200</xdr:rowOff>
    </xdr:from>
    <xdr:ext cx="857250" cy="238125"/>
    <xdr:sp>
      <xdr:nvSpPr>
        <xdr:cNvPr id="18" name="Shape 18">
          <a:hlinkClick r:id="rId5"/>
        </xdr:cNvPr>
        <xdr:cNvSpPr/>
      </xdr:nvSpPr>
      <xdr:spPr>
        <a:xfrm>
          <a:off x="4922138" y="3665700"/>
          <a:ext cx="847725" cy="228600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FINANÇAMENT</a:t>
          </a:r>
          <a:endParaRPr sz="1400"/>
        </a:p>
      </xdr:txBody>
    </xdr:sp>
    <xdr:clientData fLocksWithSheet="0"/>
  </xdr:oneCellAnchor>
  <xdr:oneCellAnchor>
    <xdr:from>
      <xdr:col>2</xdr:col>
      <xdr:colOff>1028700</xdr:colOff>
      <xdr:row>0</xdr:row>
      <xdr:rowOff>76200</xdr:rowOff>
    </xdr:from>
    <xdr:ext cx="628650" cy="238125"/>
    <xdr:sp>
      <xdr:nvSpPr>
        <xdr:cNvPr id="19" name="Shape 19">
          <a:hlinkClick r:id="rId6"/>
        </xdr:cNvPr>
        <xdr:cNvSpPr/>
      </xdr:nvSpPr>
      <xdr:spPr>
        <a:xfrm>
          <a:off x="5036438" y="3665700"/>
          <a:ext cx="619125" cy="22860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Balanç</a:t>
          </a:r>
          <a:endParaRPr sz="1400"/>
        </a:p>
      </xdr:txBody>
    </xdr:sp>
    <xdr:clientData fLocksWithSheet="0"/>
  </xdr:oneCellAnchor>
  <xdr:oneCellAnchor>
    <xdr:from>
      <xdr:col>3</xdr:col>
      <xdr:colOff>600075</xdr:colOff>
      <xdr:row>0</xdr:row>
      <xdr:rowOff>76200</xdr:rowOff>
    </xdr:from>
    <xdr:ext cx="657225" cy="238125"/>
    <xdr:sp>
      <xdr:nvSpPr>
        <xdr:cNvPr id="20" name="Shape 20">
          <a:hlinkClick r:id="rId7"/>
        </xdr:cNvPr>
        <xdr:cNvSpPr/>
      </xdr:nvSpPr>
      <xdr:spPr>
        <a:xfrm>
          <a:off x="5022150" y="3665700"/>
          <a:ext cx="647700" cy="228600"/>
        </a:xfrm>
        <a:prstGeom prst="rect">
          <a:avLst/>
        </a:prstGeom>
        <a:solidFill>
          <a:schemeClr val="dk1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Resultats</a:t>
          </a:r>
          <a:endParaRPr sz="1400"/>
        </a:p>
      </xdr:txBody>
    </xdr:sp>
    <xdr:clientData fLocksWithSheet="0"/>
  </xdr:oneCellAnchor>
  <xdr:oneCellAnchor>
    <xdr:from>
      <xdr:col>5</xdr:col>
      <xdr:colOff>333375</xdr:colOff>
      <xdr:row>0</xdr:row>
      <xdr:rowOff>76200</xdr:rowOff>
    </xdr:from>
    <xdr:ext cx="457200" cy="238125"/>
    <xdr:sp>
      <xdr:nvSpPr>
        <xdr:cNvPr id="21" name="Shape 21">
          <a:hlinkClick r:id="rId8"/>
        </xdr:cNvPr>
        <xdr:cNvSpPr/>
      </xdr:nvSpPr>
      <xdr:spPr>
        <a:xfrm>
          <a:off x="5122163" y="3665700"/>
          <a:ext cx="447675" cy="22860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Inv-Fin</a:t>
          </a:r>
          <a:endParaRPr sz="1400"/>
        </a:p>
      </xdr:txBody>
    </xdr:sp>
    <xdr:clientData fLocksWithSheet="0"/>
  </xdr:oneCellAnchor>
  <xdr:oneCellAnchor>
    <xdr:from>
      <xdr:col>4</xdr:col>
      <xdr:colOff>885825</xdr:colOff>
      <xdr:row>0</xdr:row>
      <xdr:rowOff>76200</xdr:rowOff>
    </xdr:from>
    <xdr:ext cx="466725" cy="238125"/>
    <xdr:sp>
      <xdr:nvSpPr>
        <xdr:cNvPr id="22" name="Shape 22">
          <a:hlinkClick r:id="rId9"/>
        </xdr:cNvPr>
        <xdr:cNvSpPr/>
      </xdr:nvSpPr>
      <xdr:spPr>
        <a:xfrm>
          <a:off x="5117400" y="3665700"/>
          <a:ext cx="457200" cy="22860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Stock</a:t>
          </a:r>
          <a:endParaRPr sz="1400"/>
        </a:p>
      </xdr:txBody>
    </xdr:sp>
    <xdr:clientData fLocksWithSheet="0"/>
  </xdr:oneCellAnchor>
  <xdr:oneCellAnchor>
    <xdr:from>
      <xdr:col>5</xdr:col>
      <xdr:colOff>819150</xdr:colOff>
      <xdr:row>0</xdr:row>
      <xdr:rowOff>76200</xdr:rowOff>
    </xdr:from>
    <xdr:ext cx="466725" cy="238125"/>
    <xdr:sp>
      <xdr:nvSpPr>
        <xdr:cNvPr id="23" name="Shape 23">
          <a:hlinkClick r:id="rId10"/>
        </xdr:cNvPr>
        <xdr:cNvSpPr/>
      </xdr:nvSpPr>
      <xdr:spPr>
        <a:xfrm>
          <a:off x="5117400" y="3665700"/>
          <a:ext cx="457200" cy="228600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Análisis</a:t>
          </a:r>
          <a:endParaRPr sz="1400"/>
        </a:p>
      </xdr:txBody>
    </xdr:sp>
    <xdr:clientData fLocksWithSheet="0"/>
  </xdr:oneCellAnchor>
  <xdr:oneCellAnchor>
    <xdr:from>
      <xdr:col>1</xdr:col>
      <xdr:colOff>771525</xdr:colOff>
      <xdr:row>0</xdr:row>
      <xdr:rowOff>76200</xdr:rowOff>
    </xdr:from>
    <xdr:ext cx="485775" cy="238125"/>
    <xdr:sp>
      <xdr:nvSpPr>
        <xdr:cNvPr id="24" name="Shape 24">
          <a:hlinkClick r:id="rId11"/>
        </xdr:cNvPr>
        <xdr:cNvSpPr/>
      </xdr:nvSpPr>
      <xdr:spPr>
        <a:xfrm>
          <a:off x="5103113" y="3665700"/>
          <a:ext cx="485775" cy="228600"/>
        </a:xfrm>
        <a:prstGeom prst="rect">
          <a:avLst/>
        </a:prstGeom>
        <a:solidFill>
          <a:srgbClr val="1E4E79"/>
        </a:solidFill>
        <a:ln cap="flat" cmpd="sng" w="9525">
          <a:solidFill>
            <a:srgbClr val="1E4E7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HOME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13"/>
    <col customWidth="1" min="2" max="2" width="31.75"/>
    <col customWidth="1" min="3" max="3" width="14.13"/>
    <col customWidth="1" min="4" max="4" width="13.5"/>
    <col customWidth="1" min="5" max="5" width="13.63"/>
    <col customWidth="1" min="6" max="6" width="13.5"/>
    <col customWidth="1" min="7" max="7" width="14.25"/>
    <col customWidth="1" min="8" max="9" width="9.88"/>
    <col customWidth="1" hidden="1" min="10" max="15" width="9.88"/>
    <col customWidth="1" min="16" max="26" width="9.88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2" t="s">
        <v>0</v>
      </c>
      <c r="C5" s="1"/>
      <c r="D5" s="1"/>
      <c r="E5" s="1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3"/>
      <c r="D6" s="3">
        <f>EDATE(C6,12)</f>
        <v>365</v>
      </c>
      <c r="E6" s="3"/>
      <c r="F6" s="3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4" t="s">
        <v>1</v>
      </c>
      <c r="C7" s="5" t="s">
        <v>2</v>
      </c>
      <c r="D7" s="5" t="s">
        <v>3</v>
      </c>
      <c r="E7" s="4" t="s">
        <v>4</v>
      </c>
      <c r="F7" s="6"/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7" t="s">
        <v>5</v>
      </c>
      <c r="C8" s="8"/>
      <c r="D8" s="8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9"/>
      <c r="C9" s="10"/>
      <c r="D9" s="10"/>
      <c r="E9" s="10"/>
      <c r="F9" s="10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9"/>
      <c r="C10" s="10"/>
      <c r="D10" s="10"/>
      <c r="E10" s="10"/>
      <c r="F10" s="10"/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9"/>
      <c r="C11" s="10"/>
      <c r="D11" s="10"/>
      <c r="E11" s="10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1"/>
      <c r="C12" s="10"/>
      <c r="D12" s="10"/>
      <c r="E12" s="10"/>
      <c r="F12" s="10"/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2" t="s">
        <v>6</v>
      </c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" t="s">
        <v>7</v>
      </c>
      <c r="C14" s="14"/>
      <c r="D14" s="14"/>
      <c r="E14" s="14"/>
      <c r="F14" s="14"/>
      <c r="G14" s="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"/>
      <c r="C15" s="15"/>
      <c r="D15" s="15"/>
      <c r="E15" s="15"/>
      <c r="F15" s="15"/>
      <c r="G15" s="1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" t="s">
        <v>8</v>
      </c>
      <c r="C16" s="16"/>
      <c r="D16" s="16"/>
      <c r="E16" s="16"/>
      <c r="F16" s="16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7"/>
      <c r="C17" s="16"/>
      <c r="D17" s="16"/>
      <c r="E17" s="16"/>
      <c r="F17" s="16"/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8" t="s">
        <v>9</v>
      </c>
      <c r="C18" s="15"/>
      <c r="D18" s="15"/>
      <c r="E18" s="15"/>
      <c r="F18" s="15"/>
      <c r="G18" s="1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6.0" customHeight="1">
      <c r="A19" s="19"/>
      <c r="B19" s="20"/>
      <c r="C19" s="21"/>
      <c r="D19" s="21"/>
      <c r="E19" s="21"/>
      <c r="F19" s="21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"/>
      <c r="B20" s="12" t="s">
        <v>10</v>
      </c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2"/>
      <c r="C21" s="22"/>
      <c r="D21" s="22"/>
      <c r="E21" s="22"/>
      <c r="F21" s="22"/>
      <c r="G21" s="2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4" t="s">
        <v>11</v>
      </c>
      <c r="C22" s="6" t="str">
        <f t="shared" ref="C22:E22" si="1">+C7</f>
        <v>DATA 1</v>
      </c>
      <c r="D22" s="6" t="str">
        <f t="shared" si="1"/>
        <v>DATA 2 </v>
      </c>
      <c r="E22" s="6" t="str">
        <f t="shared" si="1"/>
        <v>DATA 3 </v>
      </c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7" t="s">
        <v>12</v>
      </c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3"/>
      <c r="C24" s="15"/>
      <c r="D24" s="15"/>
      <c r="E24" s="15"/>
      <c r="F24" s="15"/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9"/>
      <c r="C25" s="15"/>
      <c r="D25" s="15"/>
      <c r="E25" s="15"/>
      <c r="F25" s="15"/>
      <c r="G25" s="1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4"/>
      <c r="C26" s="15"/>
      <c r="D26" s="15"/>
      <c r="E26" s="15"/>
      <c r="F26" s="15"/>
      <c r="G26" s="1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9"/>
      <c r="C27" s="15"/>
      <c r="D27" s="15"/>
      <c r="E27" s="15"/>
      <c r="F27" s="15"/>
      <c r="G27" s="15"/>
      <c r="H27" s="1"/>
      <c r="I27" s="1"/>
      <c r="J27" s="1" t="s">
        <v>13</v>
      </c>
      <c r="K27" s="1"/>
      <c r="L27" s="25" t="str">
        <f t="shared" ref="L27:O27" si="2">SUM($C$27:C27)+#REF!</f>
        <v>#REF!</v>
      </c>
      <c r="M27" s="25" t="str">
        <f t="shared" si="2"/>
        <v>#REF!</v>
      </c>
      <c r="N27" s="25" t="str">
        <f t="shared" si="2"/>
        <v>#REF!</v>
      </c>
      <c r="O27" s="25" t="str">
        <f t="shared" si="2"/>
        <v>#REF!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9"/>
      <c r="C28" s="16"/>
      <c r="D28" s="16"/>
      <c r="E28" s="16"/>
      <c r="F28" s="16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2" t="s">
        <v>14</v>
      </c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6"/>
      <c r="C30" s="15"/>
      <c r="D30" s="15"/>
      <c r="E30" s="15"/>
      <c r="F30" s="15"/>
      <c r="G30" s="1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7"/>
      <c r="C31" s="16"/>
      <c r="D31" s="16"/>
      <c r="E31" s="16"/>
      <c r="F31" s="16"/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7"/>
      <c r="C32" s="16"/>
      <c r="D32" s="16"/>
      <c r="E32" s="16"/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8"/>
      <c r="C33" s="16"/>
      <c r="D33" s="16"/>
      <c r="E33" s="16"/>
      <c r="F33" s="16"/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2" t="s">
        <v>15</v>
      </c>
      <c r="C34" s="8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9"/>
      <c r="C35" s="15"/>
      <c r="D35" s="29"/>
      <c r="E35" s="15"/>
      <c r="F35" s="15"/>
      <c r="G35" s="2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9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8"/>
      <c r="C37" s="16"/>
      <c r="D37" s="16"/>
      <c r="E37" s="16"/>
      <c r="F37" s="16"/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7"/>
      <c r="C38" s="16"/>
      <c r="D38" s="16"/>
      <c r="E38" s="16"/>
      <c r="F38" s="16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9"/>
      <c r="B39" s="28"/>
      <c r="C39" s="16"/>
      <c r="D39" s="16"/>
      <c r="E39" s="16"/>
      <c r="F39" s="16"/>
      <c r="G39" s="16"/>
      <c r="H39" s="1"/>
      <c r="I39" s="1"/>
      <c r="J39" s="1"/>
      <c r="K39" s="1"/>
      <c r="L39" s="1"/>
      <c r="M39" s="1"/>
      <c r="N39" s="1"/>
      <c r="O39" s="1"/>
      <c r="P39" s="1"/>
      <c r="Q39" s="1"/>
      <c r="R39" s="19"/>
      <c r="S39" s="19"/>
      <c r="T39" s="19"/>
      <c r="U39" s="19"/>
      <c r="V39" s="19"/>
      <c r="W39" s="19"/>
      <c r="X39" s="19"/>
      <c r="Y39" s="19"/>
      <c r="Z39" s="19"/>
    </row>
    <row r="40" ht="10.5" customHeight="1">
      <c r="A40" s="1"/>
      <c r="B40" s="28"/>
      <c r="C40" s="16"/>
      <c r="D40" s="16"/>
      <c r="E40" s="16"/>
      <c r="F40" s="16"/>
      <c r="G40" s="16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"/>
      <c r="S40" s="1"/>
      <c r="T40" s="1"/>
      <c r="U40" s="1"/>
      <c r="V40" s="1"/>
      <c r="W40" s="1"/>
      <c r="X40" s="1"/>
      <c r="Y40" s="1"/>
      <c r="Z40" s="1"/>
    </row>
    <row r="41" ht="6.0" customHeight="1">
      <c r="A41" s="1"/>
      <c r="B41" s="30"/>
      <c r="C41" s="31"/>
      <c r="D41" s="31"/>
      <c r="E41" s="31"/>
      <c r="F41" s="31"/>
      <c r="G41" s="3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2" t="s">
        <v>16</v>
      </c>
      <c r="C42" s="8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32" t="s">
        <v>17</v>
      </c>
      <c r="C44" s="33"/>
      <c r="D44" s="33"/>
      <c r="E44" s="33"/>
      <c r="F44" s="34"/>
      <c r="G44" s="3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conditionalFormatting sqref="C44:G44">
    <cfRule type="expression" dxfId="0" priority="1">
      <formula>C44&gt;0.1</formula>
    </cfRule>
  </conditionalFormatting>
  <conditionalFormatting sqref="C44:G44">
    <cfRule type="expression" dxfId="0" priority="2">
      <formula>C44&lt;-0.1</formula>
    </cfRule>
  </conditionalFormatting>
  <conditionalFormatting sqref="G7:G16 G18:G25 G27:G35 G37:G45">
    <cfRule type="expression" dxfId="1" priority="3">
      <formula>$F$5&lt;5</formula>
    </cfRule>
  </conditionalFormatting>
  <conditionalFormatting sqref="F7:F16 F18:F25 F27:F35 F37:F45">
    <cfRule type="expression" dxfId="1" priority="4">
      <formula>$F$5&lt;4</formula>
    </cfRule>
  </conditionalFormatting>
  <conditionalFormatting sqref="G12">
    <cfRule type="expression" dxfId="1" priority="5">
      <formula>$F$5&lt;5</formula>
    </cfRule>
  </conditionalFormatting>
  <conditionalFormatting sqref="G40">
    <cfRule type="expression" dxfId="1" priority="6">
      <formula>$F$5&lt;5</formula>
    </cfRule>
  </conditionalFormatting>
  <conditionalFormatting sqref="C18:G18">
    <cfRule type="expression" dxfId="0" priority="7">
      <formula>C18&lt;-0.1</formula>
    </cfRule>
  </conditionalFormatting>
  <conditionalFormatting sqref="G26">
    <cfRule type="expression" dxfId="1" priority="8">
      <formula>$F$5&lt;5</formula>
    </cfRule>
  </conditionalFormatting>
  <conditionalFormatting sqref="F26">
    <cfRule type="expression" dxfId="1" priority="9">
      <formula>$F$5&lt;4</formula>
    </cfRule>
  </conditionalFormatting>
  <conditionalFormatting sqref="G36">
    <cfRule type="expression" dxfId="1" priority="10">
      <formula>$F$5&lt;5</formula>
    </cfRule>
  </conditionalFormatting>
  <conditionalFormatting sqref="F36">
    <cfRule type="expression" dxfId="1" priority="11">
      <formula>$F$5&lt;4</formula>
    </cfRule>
  </conditionalFormatting>
  <conditionalFormatting sqref="G17">
    <cfRule type="expression" dxfId="1" priority="12">
      <formula>$F$5&lt;5</formula>
    </cfRule>
  </conditionalFormatting>
  <conditionalFormatting sqref="F17">
    <cfRule type="expression" dxfId="1" priority="13">
      <formula>$F$5&lt;4</formula>
    </cfRule>
  </conditionalFormatting>
  <printOptions/>
  <pageMargins bottom="0.75" footer="0.0" header="0.0" left="0.7" right="0.7" top="0.75"/>
  <pageSetup paperSize="9" scale="62" orientation="portrait"/>
  <headerFooter>
    <oddFooter>&amp;LPromotor a Nom del projecte a Email: a Telèfon 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13"/>
    <col customWidth="1" min="2" max="2" width="46.5"/>
    <col customWidth="1" min="3" max="3" width="14.13"/>
    <col customWidth="1" min="4" max="4" width="13.5"/>
    <col customWidth="1" min="5" max="5" width="13.63"/>
    <col customWidth="1" min="6" max="6" width="13.5"/>
    <col customWidth="1" min="7" max="7" width="14.25"/>
    <col customWidth="1" min="8" max="26" width="10.0"/>
  </cols>
  <sheetData>
    <row r="1" ht="16.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6.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/>
      <c r="B5" s="2" t="s">
        <v>18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/>
      <c r="B6" s="19"/>
      <c r="C6" s="19"/>
      <c r="D6" s="19"/>
      <c r="E6" s="19"/>
      <c r="F6" s="36"/>
      <c r="G6" s="36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/>
      <c r="B7" s="37" t="s">
        <v>19</v>
      </c>
      <c r="C7" s="6" t="str">
        <f>+'BALANÇ'!C7</f>
        <v>DATA 1</v>
      </c>
      <c r="D7" s="6" t="str">
        <f>+'BALANÇ'!D7</f>
        <v>DATA 2 </v>
      </c>
      <c r="E7" s="6" t="str">
        <f>+'BALANÇ'!E7</f>
        <v>DATA 3 </v>
      </c>
      <c r="F7" s="6" t="str">
        <f>+'BALANÇ'!F7</f>
        <v/>
      </c>
      <c r="G7" s="6" t="str">
        <f>+'BALANÇ'!G7</f>
        <v/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/>
      <c r="B8" s="38" t="s">
        <v>20</v>
      </c>
      <c r="C8" s="39"/>
      <c r="D8" s="39"/>
      <c r="E8" s="39"/>
      <c r="F8" s="39"/>
      <c r="G8" s="3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/>
      <c r="B9" s="40"/>
      <c r="C9" s="39"/>
      <c r="D9" s="39"/>
      <c r="E9" s="39"/>
      <c r="F9" s="39"/>
      <c r="G9" s="3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/>
      <c r="B10" s="40"/>
      <c r="C10" s="39"/>
      <c r="D10" s="39"/>
      <c r="E10" s="39"/>
      <c r="F10" s="39"/>
      <c r="G10" s="3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/>
      <c r="B11" s="40"/>
      <c r="C11" s="39"/>
      <c r="D11" s="39"/>
      <c r="E11" s="39"/>
      <c r="F11" s="39"/>
      <c r="G11" s="3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/>
      <c r="B12" s="41" t="s">
        <v>21</v>
      </c>
      <c r="C12" s="39"/>
      <c r="D12" s="39"/>
      <c r="E12" s="39"/>
      <c r="F12" s="39"/>
      <c r="G12" s="3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19"/>
      <c r="B13" s="42"/>
      <c r="C13" s="39"/>
      <c r="D13" s="39"/>
      <c r="E13" s="39"/>
      <c r="F13" s="39"/>
      <c r="G13" s="3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/>
      <c r="B14" s="40"/>
      <c r="C14" s="39"/>
      <c r="D14" s="39"/>
      <c r="E14" s="39"/>
      <c r="F14" s="39"/>
      <c r="G14" s="3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/>
      <c r="B15" s="40"/>
      <c r="C15" s="39"/>
      <c r="D15" s="39"/>
      <c r="E15" s="39"/>
      <c r="F15" s="39"/>
      <c r="G15" s="3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/>
      <c r="B16" s="40"/>
      <c r="C16" s="39"/>
      <c r="D16" s="39"/>
      <c r="E16" s="39"/>
      <c r="F16" s="39"/>
      <c r="G16" s="3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/>
      <c r="B17" s="43" t="s">
        <v>22</v>
      </c>
      <c r="C17" s="44"/>
      <c r="D17" s="44"/>
      <c r="E17" s="44"/>
      <c r="F17" s="44"/>
      <c r="G17" s="44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6.75" customHeight="1">
      <c r="A18" s="19"/>
      <c r="B18" s="45"/>
      <c r="C18" s="46"/>
      <c r="D18" s="46"/>
      <c r="E18" s="46"/>
      <c r="F18" s="46"/>
      <c r="G18" s="46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/>
      <c r="B19" s="41" t="s">
        <v>23</v>
      </c>
      <c r="C19" s="39"/>
      <c r="D19" s="39"/>
      <c r="E19" s="39"/>
      <c r="F19" s="39"/>
      <c r="G19" s="3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/>
      <c r="B20" s="41"/>
      <c r="C20" s="39"/>
      <c r="D20" s="39"/>
      <c r="E20" s="39"/>
      <c r="F20" s="39"/>
      <c r="G20" s="3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/>
      <c r="B21" s="41"/>
      <c r="C21" s="39"/>
      <c r="D21" s="39"/>
      <c r="E21" s="39"/>
      <c r="F21" s="39"/>
      <c r="G21" s="3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/>
      <c r="B22" s="41" t="s">
        <v>24</v>
      </c>
      <c r="C22" s="39"/>
      <c r="D22" s="39"/>
      <c r="E22" s="39"/>
      <c r="F22" s="39"/>
      <c r="G22" s="3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/>
      <c r="B23" s="41"/>
      <c r="C23" s="39"/>
      <c r="D23" s="39"/>
      <c r="E23" s="39"/>
      <c r="F23" s="39"/>
      <c r="G23" s="3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/>
      <c r="B24" s="41"/>
      <c r="C24" s="39"/>
      <c r="D24" s="39"/>
      <c r="E24" s="39"/>
      <c r="F24" s="39"/>
      <c r="G24" s="3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/>
      <c r="B25" s="41"/>
      <c r="C25" s="39"/>
      <c r="D25" s="39"/>
      <c r="E25" s="39"/>
      <c r="F25" s="39"/>
      <c r="G25" s="3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47" t="s">
        <v>25</v>
      </c>
      <c r="C26" s="44"/>
      <c r="D26" s="44"/>
      <c r="E26" s="44"/>
      <c r="F26" s="44"/>
      <c r="G26" s="44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6.75" customHeight="1">
      <c r="A27" s="19"/>
      <c r="B27" s="48"/>
      <c r="C27" s="22"/>
      <c r="D27" s="22"/>
      <c r="E27" s="22"/>
      <c r="F27" s="22"/>
      <c r="G27" s="22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49"/>
      <c r="B28" s="47" t="s">
        <v>26</v>
      </c>
      <c r="C28" s="44"/>
      <c r="D28" s="44"/>
      <c r="E28" s="44"/>
      <c r="F28" s="44"/>
      <c r="G28" s="44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50" t="s">
        <v>27</v>
      </c>
      <c r="C29" s="39"/>
      <c r="D29" s="39"/>
      <c r="E29" s="39"/>
      <c r="F29" s="39"/>
      <c r="G29" s="3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47" t="s">
        <v>28</v>
      </c>
      <c r="C30" s="44"/>
      <c r="D30" s="44"/>
      <c r="E30" s="44"/>
      <c r="F30" s="44"/>
      <c r="G30" s="44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2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2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2.7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2.7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2.7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2.75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</sheetData>
  <conditionalFormatting sqref="G7:G31 G48:G1006">
    <cfRule type="expression" dxfId="1" priority="1">
      <formula>$F$6&lt;5</formula>
    </cfRule>
  </conditionalFormatting>
  <conditionalFormatting sqref="F7:F31 F48:F1006">
    <cfRule type="expression" dxfId="1" priority="2">
      <formula>$F$6&lt;4</formula>
    </cfRule>
  </conditionalFormatting>
  <conditionalFormatting sqref="G26">
    <cfRule type="expression" dxfId="1" priority="3">
      <formula>$F$6&lt;5</formula>
    </cfRule>
  </conditionalFormatting>
  <conditionalFormatting sqref="F26">
    <cfRule type="expression" dxfId="1" priority="4">
      <formula>$F$6&lt;4</formula>
    </cfRule>
  </conditionalFormatting>
  <printOptions/>
  <pageMargins bottom="0.75" footer="0.0" header="0.0" left="0.7" right="0.7" top="0.75"/>
  <pageSetup paperSize="9" scale="95" orientation="landscape"/>
  <headerFooter>
    <oddFooter>&amp;LPromotor a Nom del projecte a Email: a Telèfon a</oddFooter>
  </headerFooter>
  <drawing r:id="rId1"/>
</worksheet>
</file>